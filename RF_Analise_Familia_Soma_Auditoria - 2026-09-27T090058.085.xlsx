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2629114b212db8/Área de Trabalho/DSDI 2026/"/>
    </mc:Choice>
  </mc:AlternateContent>
  <xr:revisionPtr revIDLastSave="4" documentId="8_{02BFFFB1-F8D7-4173-9BB0-DCA7DB8A2D7A}" xr6:coauthVersionLast="47" xr6:coauthVersionMax="47" xr10:uidLastSave="{E97C4FF2-30C7-4A7E-BDD2-5B3A20F8B6D2}"/>
  <bookViews>
    <workbookView xWindow="-108" yWindow="-108" windowWidth="23256" windowHeight="12456" activeTab="2" xr2:uid="{00000000-000D-0000-FFFF-FFFF00000000}"/>
  </bookViews>
  <sheets>
    <sheet name="Resumo_KPIs_Teste" sheetId="1" r:id="rId1"/>
    <sheet name="Serie_Temporal_Teste" sheetId="2" r:id="rId2"/>
    <sheet name="Detalhe_SKU_Tes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H8" i="3"/>
  <c r="H3" i="3"/>
  <c r="H4" i="3"/>
  <c r="H5" i="3"/>
  <c r="H6" i="3"/>
  <c r="H7" i="3"/>
  <c r="H2" i="3"/>
  <c r="D8" i="3"/>
  <c r="F8" i="3"/>
  <c r="E8" i="3"/>
  <c r="C8" i="3"/>
</calcChain>
</file>

<file path=xl/sharedStrings.xml><?xml version="1.0" encoding="utf-8"?>
<sst xmlns="http://schemas.openxmlformats.org/spreadsheetml/2006/main" count="31" uniqueCount="26">
  <si>
    <t>Indicador</t>
  </si>
  <si>
    <t>Valor</t>
  </si>
  <si>
    <t>WMAPE Família</t>
  </si>
  <si>
    <t>Volume Total (Teste)</t>
  </si>
  <si>
    <t>Viés (Bias) Total</t>
  </si>
  <si>
    <t>Viés Percentual</t>
  </si>
  <si>
    <t>Data</t>
  </si>
  <si>
    <t>Real_Familia</t>
  </si>
  <si>
    <t>Previsao_Familia_Soma</t>
  </si>
  <si>
    <t>Erro_Absoluto</t>
  </si>
  <si>
    <t>Produto</t>
  </si>
  <si>
    <t>Modelo</t>
  </si>
  <si>
    <t>Volume Real</t>
  </si>
  <si>
    <t>WMAPE (%)</t>
  </si>
  <si>
    <t>Viés (Bias)</t>
  </si>
  <si>
    <t>Contribuição Erro</t>
  </si>
  <si>
    <t>Share Vol (%)</t>
  </si>
  <si>
    <t>Flex Fuel</t>
  </si>
  <si>
    <t>Random Forest</t>
  </si>
  <si>
    <t>Diesel</t>
  </si>
  <si>
    <t>Elétrico</t>
  </si>
  <si>
    <t>Híbrido</t>
  </si>
  <si>
    <t>Híbrido Plug-in</t>
  </si>
  <si>
    <t>Gasolina</t>
  </si>
  <si>
    <t>Vies Abs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</si>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</sst>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0.0%"/>
    <numFmt numFmtId="173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  <xf numFmtId="173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3">
        <v>0.16345014431193161</v>
      </c>
    </row>
    <row r="3" spans="1:2" x14ac:dyDescent="0.3">
      <c r="A3" t="s">
        <v>3</v>
      </c>
      <c r="B3">
        <v>2864628</v>
      </c>
    </row>
    <row r="4" spans="1:2" x14ac:dyDescent="0.3">
      <c r="A4" t="s">
        <v>4</v>
      </c>
      <c r="B4">
        <v>-283591.70000000019</v>
      </c>
    </row>
    <row r="5" spans="1:2" x14ac:dyDescent="0.3">
      <c r="A5" t="s">
        <v>5</v>
      </c>
      <c r="B5" s="3">
        <v>-9.8997740718864774E-2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s="2">
        <v>45901</v>
      </c>
      <c r="B2">
        <v>231479</v>
      </c>
      <c r="C2">
        <v>224662.91</v>
      </c>
      <c r="D2">
        <v>6816.0900000000256</v>
      </c>
    </row>
    <row r="3" spans="1:4" x14ac:dyDescent="0.3">
      <c r="A3" s="2">
        <v>45931</v>
      </c>
      <c r="B3">
        <v>248082</v>
      </c>
      <c r="C3">
        <v>231313.25</v>
      </c>
      <c r="D3">
        <v>16768.749999999971</v>
      </c>
    </row>
    <row r="4" spans="1:4" x14ac:dyDescent="0.3">
      <c r="A4" s="2">
        <v>45962</v>
      </c>
      <c r="B4">
        <v>227445</v>
      </c>
      <c r="C4">
        <v>231663.03</v>
      </c>
      <c r="D4">
        <v>4218.0300000000279</v>
      </c>
    </row>
    <row r="5" spans="1:4" x14ac:dyDescent="0.3">
      <c r="A5" s="2">
        <v>45992</v>
      </c>
      <c r="B5">
        <v>267476</v>
      </c>
      <c r="C5">
        <v>224358.53</v>
      </c>
      <c r="D5">
        <v>43117.47</v>
      </c>
    </row>
    <row r="6" spans="1:4" x14ac:dyDescent="0.3">
      <c r="A6" s="2">
        <v>46023</v>
      </c>
      <c r="B6">
        <v>162872</v>
      </c>
      <c r="C6">
        <v>192671.33</v>
      </c>
      <c r="D6">
        <v>29799.329999999991</v>
      </c>
    </row>
    <row r="7" spans="1:4" x14ac:dyDescent="0.3">
      <c r="A7" s="2">
        <v>46054</v>
      </c>
      <c r="B7">
        <v>177170</v>
      </c>
      <c r="C7">
        <v>200091.11</v>
      </c>
      <c r="D7">
        <v>22921.10999999999</v>
      </c>
    </row>
    <row r="8" spans="1:4" x14ac:dyDescent="0.3">
      <c r="A8" s="2">
        <v>46082</v>
      </c>
      <c r="B8">
        <v>258699</v>
      </c>
      <c r="C8">
        <v>199273.18</v>
      </c>
      <c r="D8">
        <v>59425.820000000007</v>
      </c>
    </row>
    <row r="9" spans="1:4" x14ac:dyDescent="0.3">
      <c r="A9" s="2">
        <v>46113</v>
      </c>
      <c r="B9">
        <v>237461</v>
      </c>
      <c r="C9">
        <v>209955.77</v>
      </c>
      <c r="D9">
        <v>27505.23000000001</v>
      </c>
    </row>
    <row r="10" spans="1:4" x14ac:dyDescent="0.3">
      <c r="A10" s="2">
        <v>46143</v>
      </c>
      <c r="B10">
        <v>264659</v>
      </c>
      <c r="C10">
        <v>214398.57</v>
      </c>
      <c r="D10">
        <v>50260.429999999993</v>
      </c>
    </row>
    <row r="11" spans="1:4" x14ac:dyDescent="0.3">
      <c r="A11" s="2">
        <v>46174</v>
      </c>
      <c r="B11">
        <v>260528</v>
      </c>
      <c r="C11">
        <v>211233.41</v>
      </c>
      <c r="D11">
        <v>49294.59</v>
      </c>
    </row>
    <row r="12" spans="1:4" x14ac:dyDescent="0.3">
      <c r="A12" s="2">
        <v>46204</v>
      </c>
      <c r="B12">
        <v>265666</v>
      </c>
      <c r="C12">
        <v>222960.25</v>
      </c>
      <c r="D12">
        <v>42705.75</v>
      </c>
    </row>
    <row r="13" spans="1:4" x14ac:dyDescent="0.3">
      <c r="A13" s="2">
        <v>46235</v>
      </c>
      <c r="B13">
        <v>263091</v>
      </c>
      <c r="C13">
        <v>218454.96</v>
      </c>
      <c r="D13">
        <v>44636.039999999979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sqref="A1:H9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1.5546875" bestFit="1" customWidth="1"/>
    <col min="4" max="4" width="12" bestFit="1" customWidth="1"/>
    <col min="5" max="5" width="9.6640625" bestFit="1" customWidth="1"/>
    <col min="6" max="6" width="15.77734375" bestFit="1" customWidth="1"/>
    <col min="7" max="7" width="12.21875" bestFit="1" customWidth="1"/>
  </cols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6" t="s">
        <v>24</v>
      </c>
    </row>
    <row r="2" spans="1:8" x14ac:dyDescent="0.3">
      <c r="A2" t="s">
        <v>17</v>
      </c>
      <c r="B2" t="s">
        <v>18</v>
      </c>
      <c r="C2">
        <v>2010624</v>
      </c>
      <c r="D2" s="4">
        <v>8.9837911016679399</v>
      </c>
      <c r="E2" s="5">
        <v>-60983.619999999879</v>
      </c>
      <c r="F2" s="5">
        <v>180630.26</v>
      </c>
      <c r="G2" s="4">
        <v>70.187961578257287</v>
      </c>
      <c r="H2" s="5">
        <f>ABS(E2)</f>
        <v>60983.619999999879</v>
      </c>
    </row>
    <row r="3" spans="1:8" x14ac:dyDescent="0.3">
      <c r="A3" t="s">
        <v>19</v>
      </c>
      <c r="B3" t="s">
        <v>18</v>
      </c>
      <c r="C3">
        <v>268744</v>
      </c>
      <c r="D3" s="4">
        <v>13.52954112463906</v>
      </c>
      <c r="E3" s="5">
        <v>-24816.929999999989</v>
      </c>
      <c r="F3" s="5">
        <v>36359.83</v>
      </c>
      <c r="G3" s="4">
        <v>9.3814624446874078</v>
      </c>
      <c r="H3" s="5">
        <f t="shared" ref="H3:H7" si="0">ABS(E3)</f>
        <v>24816.929999999989</v>
      </c>
    </row>
    <row r="4" spans="1:8" x14ac:dyDescent="0.3">
      <c r="A4" t="s">
        <v>20</v>
      </c>
      <c r="B4" t="s">
        <v>18</v>
      </c>
      <c r="C4">
        <v>179406</v>
      </c>
      <c r="D4" s="4">
        <v>63.706174821354921</v>
      </c>
      <c r="E4" s="5">
        <v>-114292.7</v>
      </c>
      <c r="F4" s="5">
        <v>114292.7</v>
      </c>
      <c r="G4" s="4">
        <v>6.2628027094617522</v>
      </c>
      <c r="H4" s="5">
        <f t="shared" si="0"/>
        <v>114292.7</v>
      </c>
    </row>
    <row r="5" spans="1:8" x14ac:dyDescent="0.3">
      <c r="A5" t="s">
        <v>21</v>
      </c>
      <c r="B5" t="s">
        <v>18</v>
      </c>
      <c r="C5">
        <v>158378</v>
      </c>
      <c r="D5" s="4">
        <v>28.102552122138171</v>
      </c>
      <c r="E5" s="5">
        <v>-44508.25999999998</v>
      </c>
      <c r="F5" s="5">
        <v>44508.259999999987</v>
      </c>
      <c r="G5" s="4">
        <v>5.5287457917747087</v>
      </c>
      <c r="H5" s="5">
        <f t="shared" si="0"/>
        <v>44508.25999999998</v>
      </c>
    </row>
    <row r="6" spans="1:8" x14ac:dyDescent="0.3">
      <c r="A6" t="s">
        <v>22</v>
      </c>
      <c r="B6" t="s">
        <v>18</v>
      </c>
      <c r="C6">
        <v>154882</v>
      </c>
      <c r="D6" s="4">
        <v>40.636071331723507</v>
      </c>
      <c r="E6" s="5">
        <v>-62907.479999999981</v>
      </c>
      <c r="F6" s="5">
        <v>62937.96</v>
      </c>
      <c r="G6" s="4">
        <v>5.4067055128973118</v>
      </c>
      <c r="H6" s="5">
        <f t="shared" si="0"/>
        <v>62907.479999999981</v>
      </c>
    </row>
    <row r="7" spans="1:8" x14ac:dyDescent="0.3">
      <c r="A7" t="s">
        <v>23</v>
      </c>
      <c r="B7" t="s">
        <v>18</v>
      </c>
      <c r="C7">
        <v>92594</v>
      </c>
      <c r="D7" s="4">
        <v>31.853953819901939</v>
      </c>
      <c r="E7" s="5">
        <v>23917.290000000012</v>
      </c>
      <c r="F7" s="5">
        <v>29494.85</v>
      </c>
      <c r="G7" s="4">
        <v>3.2323219629215378</v>
      </c>
      <c r="H7" s="5">
        <f t="shared" si="0"/>
        <v>23917.290000000012</v>
      </c>
    </row>
    <row r="8" spans="1:8" x14ac:dyDescent="0.3">
      <c r="A8" t="s">
        <v>25</v>
      </c>
      <c r="C8">
        <f>SUM(C2:C7)</f>
        <v>2864628</v>
      </c>
      <c r="D8" s="3">
        <f>F8/C8</f>
        <v>0.16345014431193161</v>
      </c>
      <c r="E8" s="5">
        <f>SUM(E2:E7)</f>
        <v>-283591.69999999984</v>
      </c>
      <c r="F8" s="5">
        <f>SUM(F2:F7)</f>
        <v>468223.86000000004</v>
      </c>
      <c r="H8" s="5">
        <f>SUM(H2:H7)</f>
        <v>331426.27999999991</v>
      </c>
    </row>
    <row r="9" spans="1:8" x14ac:dyDescent="0.3">
      <c r="E9" s="3">
        <f>E8/C8</f>
        <v>-9.8997740718864663E-2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Resumo_KPIs_Teste</vt:lpstr>
      <vt:lpstr>Serie_Temporal_Teste</vt:lpstr>
      <vt:lpstr>Detalhe_SKU_Teste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Trento</cp:lastModifiedBy>
  <dcterms:created xsi:type="dcterms:W3CDTF">2026-09-27T12:00:49Z</dcterms:created>
  <dcterms:modified xsi:type="dcterms:W3CDTF">2026-09-27T13:37:30Z</dcterms:modified>
</cp:coreProperties>
</file>