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02629114b212db8/Área de Trabalho/DSDI 2026/"/>
    </mc:Choice>
  </mc:AlternateContent>
  <xr:revisionPtr revIDLastSave="1" documentId="8_{B538E3BA-7FD7-462C-9614-1B21D784B494}" xr6:coauthVersionLast="47" xr6:coauthVersionMax="47" xr10:uidLastSave="{23CB53E4-A5EE-4229-B80B-C15E83C7A778}"/>
  <bookViews>
    <workbookView xWindow="-108" yWindow="-108" windowWidth="23256" windowHeight="12456" activeTab="2" xr2:uid="{00000000-000D-0000-FFFF-FFFF00000000}"/>
  </bookViews>
  <sheets>
    <sheet name="Resumo_KPIs_Teste" sheetId="1" r:id="rId1"/>
    <sheet name="Serie_Temporal_Teste" sheetId="2" r:id="rId2"/>
    <sheet name="Detalhe_SKU_Tes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D8" i="3"/>
  <c r="H8" i="3"/>
  <c r="H3" i="3"/>
  <c r="H4" i="3"/>
  <c r="H5" i="3"/>
  <c r="H6" i="3"/>
  <c r="H7" i="3"/>
  <c r="H2" i="3"/>
  <c r="F8" i="3"/>
  <c r="E8" i="3"/>
  <c r="C8" i="3"/>
</calcChain>
</file>

<file path=xl/sharedStrings.xml><?xml version="1.0" encoding="utf-8"?>
<sst xmlns="http://schemas.openxmlformats.org/spreadsheetml/2006/main" count="31" uniqueCount="26">
  <si>
    <t>Indicador</t>
  </si>
  <si>
    <t>Valor</t>
  </si>
  <si>
    <t>WMAPE Família</t>
  </si>
  <si>
    <t>Volume Total (Teste)</t>
  </si>
  <si>
    <t>Viés (Bias) Total</t>
  </si>
  <si>
    <t>Viés Percentual</t>
  </si>
  <si>
    <t>Data</t>
  </si>
  <si>
    <t>Real_Familia</t>
  </si>
  <si>
    <t>Previsao_Familia_Soma</t>
  </si>
  <si>
    <t>Erro_Absoluto</t>
  </si>
  <si>
    <t>Produto</t>
  </si>
  <si>
    <t>Modelo</t>
  </si>
  <si>
    <t>Volume Real</t>
  </si>
  <si>
    <t>WMAPE (%)</t>
  </si>
  <si>
    <t>Viés (Bias)</t>
  </si>
  <si>
    <t>Contribuição Erro</t>
  </si>
  <si>
    <t>Share Vol (%)</t>
  </si>
  <si>
    <t>Flex Fuel</t>
  </si>
  <si>
    <t>AutoARIMA</t>
  </si>
  <si>
    <t>Diesel</t>
  </si>
  <si>
    <t>Elétrico</t>
  </si>
  <si>
    <t>Híbrido</t>
  </si>
  <si>
    <t>Híbrido Plug-in</t>
  </si>
  <si>
    <t>Gasolina</t>
  </si>
  <si>
    <t>Viés Abs</t>
  </si>
  <si>
    <t>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</si>
</sst>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\ hh:mm:ss"/>
    <numFmt numFmtId="166" formatCode="0.0%"/>
    <numFmt numFmtId="173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1" applyNumberFormat="1" applyFont="1"/>
    <xf numFmtId="173" fontId="0" fillId="0" borderId="0" xfId="0" applyNumberFormat="1"/>
    <xf numFmtId="1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5" sqref="B5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3">
        <v>0.1379417152942721</v>
      </c>
    </row>
    <row r="3" spans="1:2" x14ac:dyDescent="0.3">
      <c r="A3" t="s">
        <v>3</v>
      </c>
      <c r="B3">
        <v>2864628</v>
      </c>
    </row>
    <row r="4" spans="1:2" x14ac:dyDescent="0.3">
      <c r="A4" t="s">
        <v>4</v>
      </c>
      <c r="B4">
        <v>-65550</v>
      </c>
    </row>
    <row r="5" spans="1:2" x14ac:dyDescent="0.3">
      <c r="A5" t="s">
        <v>5</v>
      </c>
      <c r="B5" s="3">
        <v>-2.2882552289511939E-2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4.4" x14ac:dyDescent="0.3"/>
  <sheetData>
    <row r="1" spans="1:4" x14ac:dyDescent="0.3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3">
      <c r="A2" s="2">
        <v>45901</v>
      </c>
      <c r="B2">
        <v>231479</v>
      </c>
      <c r="C2">
        <v>244801.25</v>
      </c>
      <c r="D2">
        <v>13322.25</v>
      </c>
    </row>
    <row r="3" spans="1:4" x14ac:dyDescent="0.3">
      <c r="A3" s="2">
        <v>45931</v>
      </c>
      <c r="B3">
        <v>248082</v>
      </c>
      <c r="C3">
        <v>272081.25</v>
      </c>
      <c r="D3">
        <v>23999.25</v>
      </c>
    </row>
    <row r="4" spans="1:4" x14ac:dyDescent="0.3">
      <c r="A4" s="2">
        <v>45962</v>
      </c>
      <c r="B4">
        <v>227445</v>
      </c>
      <c r="C4">
        <v>263389.25</v>
      </c>
      <c r="D4">
        <v>35944.25</v>
      </c>
    </row>
    <row r="5" spans="1:4" x14ac:dyDescent="0.3">
      <c r="A5" s="2">
        <v>45992</v>
      </c>
      <c r="B5">
        <v>267476</v>
      </c>
      <c r="C5">
        <v>265677.25</v>
      </c>
      <c r="D5">
        <v>1798.75</v>
      </c>
    </row>
    <row r="6" spans="1:4" x14ac:dyDescent="0.3">
      <c r="A6" s="2">
        <v>46023</v>
      </c>
      <c r="B6">
        <v>162872</v>
      </c>
      <c r="C6">
        <v>181980.25</v>
      </c>
      <c r="D6">
        <v>19108.25</v>
      </c>
    </row>
    <row r="7" spans="1:4" x14ac:dyDescent="0.3">
      <c r="A7" s="2">
        <v>46054</v>
      </c>
      <c r="B7">
        <v>177170</v>
      </c>
      <c r="C7">
        <v>195968.25</v>
      </c>
      <c r="D7">
        <v>18798.25</v>
      </c>
    </row>
    <row r="8" spans="1:4" x14ac:dyDescent="0.3">
      <c r="A8" s="2">
        <v>46082</v>
      </c>
      <c r="B8">
        <v>258699</v>
      </c>
      <c r="C8">
        <v>206297.25</v>
      </c>
      <c r="D8">
        <v>52401.75</v>
      </c>
    </row>
    <row r="9" spans="1:4" x14ac:dyDescent="0.3">
      <c r="A9" s="2">
        <v>46113</v>
      </c>
      <c r="B9">
        <v>237461</v>
      </c>
      <c r="C9">
        <v>219086.25</v>
      </c>
      <c r="D9">
        <v>18374.75</v>
      </c>
    </row>
    <row r="10" spans="1:4" x14ac:dyDescent="0.3">
      <c r="A10" s="2">
        <v>46143</v>
      </c>
      <c r="B10">
        <v>264659</v>
      </c>
      <c r="C10">
        <v>236545.25</v>
      </c>
      <c r="D10">
        <v>28113.75</v>
      </c>
    </row>
    <row r="11" spans="1:4" x14ac:dyDescent="0.3">
      <c r="A11" s="2">
        <v>46174</v>
      </c>
      <c r="B11">
        <v>260528</v>
      </c>
      <c r="C11">
        <v>224388.25</v>
      </c>
      <c r="D11">
        <v>36139.75</v>
      </c>
    </row>
    <row r="12" spans="1:4" x14ac:dyDescent="0.3">
      <c r="A12" s="2">
        <v>46204</v>
      </c>
      <c r="B12">
        <v>265666</v>
      </c>
      <c r="C12">
        <v>252192.25</v>
      </c>
      <c r="D12">
        <v>13473.75</v>
      </c>
    </row>
    <row r="13" spans="1:4" x14ac:dyDescent="0.3">
      <c r="A13" s="2">
        <v>46235</v>
      </c>
      <c r="B13">
        <v>263091</v>
      </c>
      <c r="C13">
        <v>236671.25</v>
      </c>
      <c r="D13">
        <v>26419.75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tabSelected="1" workbookViewId="0">
      <selection sqref="A1:H9"/>
    </sheetView>
  </sheetViews>
  <sheetFormatPr defaultRowHeight="14.4" x14ac:dyDescent="0.3"/>
  <cols>
    <col min="1" max="1" width="12.77734375" bestFit="1" customWidth="1"/>
    <col min="2" max="2" width="10.44140625" bestFit="1" customWidth="1"/>
    <col min="3" max="3" width="11.5546875" bestFit="1" customWidth="1"/>
    <col min="4" max="4" width="12" bestFit="1" customWidth="1"/>
    <col min="5" max="5" width="9.5546875" bestFit="1" customWidth="1"/>
    <col min="6" max="6" width="15.77734375" bestFit="1" customWidth="1"/>
    <col min="7" max="7" width="12.21875" bestFit="1" customWidth="1"/>
  </cols>
  <sheetData>
    <row r="1" spans="1:8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6" t="s">
        <v>24</v>
      </c>
    </row>
    <row r="2" spans="1:8" x14ac:dyDescent="0.3">
      <c r="A2" t="s">
        <v>17</v>
      </c>
      <c r="B2" t="s">
        <v>18</v>
      </c>
      <c r="C2">
        <v>2010624</v>
      </c>
      <c r="D2" s="4">
        <v>9.0837869238604529</v>
      </c>
      <c r="E2" s="5">
        <v>3124.7999999995809</v>
      </c>
      <c r="F2" s="5">
        <v>182640.8</v>
      </c>
      <c r="G2" s="4">
        <v>70.187961578257287</v>
      </c>
      <c r="H2" s="5">
        <f>ABS(E2)</f>
        <v>3124.7999999995809</v>
      </c>
    </row>
    <row r="3" spans="1:8" x14ac:dyDescent="0.3">
      <c r="A3" t="s">
        <v>19</v>
      </c>
      <c r="B3" t="s">
        <v>18</v>
      </c>
      <c r="C3">
        <v>268744</v>
      </c>
      <c r="D3" s="4">
        <v>7.2483106599589204</v>
      </c>
      <c r="E3" s="5">
        <v>7183.4000000000233</v>
      </c>
      <c r="F3" s="5">
        <v>19479.400000000001</v>
      </c>
      <c r="G3" s="4">
        <v>9.3814624446874078</v>
      </c>
      <c r="H3" s="5">
        <f t="shared" ref="H3:H7" si="0">ABS(E3)</f>
        <v>7183.4000000000233</v>
      </c>
    </row>
    <row r="4" spans="1:8" x14ac:dyDescent="0.3">
      <c r="A4" t="s">
        <v>20</v>
      </c>
      <c r="B4" t="s">
        <v>18</v>
      </c>
      <c r="C4">
        <v>179406</v>
      </c>
      <c r="D4" s="4">
        <v>47.685696130564203</v>
      </c>
      <c r="E4" s="5">
        <v>-82931</v>
      </c>
      <c r="F4" s="5">
        <v>85551</v>
      </c>
      <c r="G4" s="4">
        <v>6.2628027094617522</v>
      </c>
      <c r="H4" s="5">
        <f t="shared" si="0"/>
        <v>82931</v>
      </c>
    </row>
    <row r="5" spans="1:8" x14ac:dyDescent="0.3">
      <c r="A5" t="s">
        <v>21</v>
      </c>
      <c r="B5" t="s">
        <v>18</v>
      </c>
      <c r="C5">
        <v>158378</v>
      </c>
      <c r="D5" s="4">
        <v>8.0895073810756539</v>
      </c>
      <c r="E5" s="5">
        <v>-1382</v>
      </c>
      <c r="F5" s="5">
        <v>12812</v>
      </c>
      <c r="G5" s="4">
        <v>5.5287457917747087</v>
      </c>
      <c r="H5" s="5">
        <f t="shared" si="0"/>
        <v>1382</v>
      </c>
    </row>
    <row r="6" spans="1:8" x14ac:dyDescent="0.3">
      <c r="A6" t="s">
        <v>22</v>
      </c>
      <c r="B6" t="s">
        <v>18</v>
      </c>
      <c r="C6">
        <v>154882</v>
      </c>
      <c r="D6" s="4">
        <v>28.175966219444479</v>
      </c>
      <c r="E6" s="5">
        <v>-42574.200000000033</v>
      </c>
      <c r="F6" s="5">
        <v>43639.5</v>
      </c>
      <c r="G6" s="4">
        <v>5.4067055128973118</v>
      </c>
      <c r="H6" s="5">
        <f t="shared" si="0"/>
        <v>42574.200000000033</v>
      </c>
    </row>
    <row r="7" spans="1:8" x14ac:dyDescent="0.3">
      <c r="A7" t="s">
        <v>23</v>
      </c>
      <c r="B7" t="s">
        <v>18</v>
      </c>
      <c r="C7">
        <v>92594</v>
      </c>
      <c r="D7" s="4">
        <v>55.11048232066873</v>
      </c>
      <c r="E7" s="5">
        <v>51029</v>
      </c>
      <c r="F7" s="5">
        <v>51029</v>
      </c>
      <c r="G7" s="4">
        <v>3.2323219629215378</v>
      </c>
      <c r="H7" s="5">
        <f t="shared" si="0"/>
        <v>51029</v>
      </c>
    </row>
    <row r="8" spans="1:8" x14ac:dyDescent="0.3">
      <c r="A8" t="s">
        <v>25</v>
      </c>
      <c r="C8">
        <f>SUM(C2:C7)</f>
        <v>2864628</v>
      </c>
      <c r="D8" s="3">
        <f>F8/C8</f>
        <v>0.13794171529427204</v>
      </c>
      <c r="E8" s="5">
        <f>SUM(E2:E7)</f>
        <v>-65550.000000000437</v>
      </c>
      <c r="F8" s="5">
        <f>SUM(F2:F7)</f>
        <v>395151.69999999995</v>
      </c>
      <c r="H8" s="5">
        <f>SUM(H2:H7)</f>
        <v>188224.39999999964</v>
      </c>
    </row>
    <row r="9" spans="1:8" x14ac:dyDescent="0.3">
      <c r="E9" s="7">
        <f>E8/C8</f>
        <v>-2.2882552289512088E-2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Resumo_KPIs_Teste</vt:lpstr>
      <vt:lpstr>Serie_Temporal_Teste</vt:lpstr>
      <vt:lpstr>Detalhe_SKU_Teste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Trento</cp:lastModifiedBy>
  <dcterms:created xsi:type="dcterms:W3CDTF">2026-09-27T11:56:25Z</dcterms:created>
  <dcterms:modified xsi:type="dcterms:W3CDTF">2026-09-27T13:35:25Z</dcterms:modified>
</cp:coreProperties>
</file>