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02629114b212db8/Área de Trabalho/DSDI 2026/"/>
    </mc:Choice>
  </mc:AlternateContent>
  <xr:revisionPtr revIDLastSave="3" documentId="8_{9C68D8AC-E74F-4B49-A12B-701343D2FFF8}" xr6:coauthVersionLast="47" xr6:coauthVersionMax="47" xr10:uidLastSave="{966CE53F-76CA-4977-BC7E-F67CCF94867B}"/>
  <bookViews>
    <workbookView xWindow="-108" yWindow="-108" windowWidth="23256" windowHeight="12456" xr2:uid="{00000000-000D-0000-FFFF-FFFF00000000}"/>
  </bookViews>
  <sheets>
    <sheet name="Detalhe_SKU_Teste" sheetId="1" r:id="rId1"/>
    <sheet name="Resumo_KPIs" sheetId="2" r:id="rId2"/>
    <sheet name="Mapa_Competica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3" i="1"/>
  <c r="M4" i="1"/>
  <c r="M5" i="1"/>
  <c r="M6" i="1"/>
  <c r="M7" i="1"/>
  <c r="M2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<sst xmlns="http://schemas.openxmlformats.org/spreadsheetml/2006/main" count="62" uniqueCount="43">
  <si>
    <t>Produto</t>
  </si>
  <si>
    <t>Modelo</t>
  </si>
  <si>
    <t>Volume Real</t>
  </si>
  <si>
    <t>Contribuição Erro</t>
  </si>
  <si>
    <t>WMAPE (%)</t>
  </si>
  <si>
    <t>Viés (Bias)</t>
  </si>
  <si>
    <t>Viés (%)</t>
  </si>
  <si>
    <t>Penalidade Viés (%)</t>
  </si>
  <si>
    <t>Score de Decisão</t>
  </si>
  <si>
    <t>Cenário Aplicado</t>
  </si>
  <si>
    <t>Arquivo Origem</t>
  </si>
  <si>
    <t>Curva ABC</t>
  </si>
  <si>
    <t>Flex Fuel</t>
  </si>
  <si>
    <t>XGBoost</t>
  </si>
  <si>
    <t>LN</t>
  </si>
  <si>
    <t>Cenario_LN.xlsx</t>
  </si>
  <si>
    <t>A</t>
  </si>
  <si>
    <t>Diesel</t>
  </si>
  <si>
    <t>Prophet</t>
  </si>
  <si>
    <t>SA</t>
  </si>
  <si>
    <t>Cenario_SA.xlsx</t>
  </si>
  <si>
    <t>Elétrico</t>
  </si>
  <si>
    <t>AutoARIMA</t>
  </si>
  <si>
    <t>N</t>
  </si>
  <si>
    <t>Cenario_N.xlsx</t>
  </si>
  <si>
    <t>B</t>
  </si>
  <si>
    <t>Híbrido</t>
  </si>
  <si>
    <t>TBATS</t>
  </si>
  <si>
    <t>WL</t>
  </si>
  <si>
    <t>Cenario_WL.xlsx</t>
  </si>
  <si>
    <t>Híbrido Plug-In</t>
  </si>
  <si>
    <t>ExponentialSmoothing</t>
  </si>
  <si>
    <t>C</t>
  </si>
  <si>
    <t>Gasolina</t>
  </si>
  <si>
    <t>Indicador</t>
  </si>
  <si>
    <t>Valor</t>
  </si>
  <si>
    <t>WMAPE Misto</t>
  </si>
  <si>
    <t>L</t>
  </si>
  <si>
    <t>WLN</t>
  </si>
  <si>
    <t>WN</t>
  </si>
  <si>
    <t>Wins</t>
  </si>
  <si>
    <t>Viés Abs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</si>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</sst>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71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71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G8" sqref="G8"/>
    </sheetView>
  </sheetViews>
  <sheetFormatPr defaultRowHeight="14.4" x14ac:dyDescent="0.3"/>
  <cols>
    <col min="1" max="1" width="12.88671875" bestFit="1" customWidth="1"/>
    <col min="2" max="2" width="19.44140625" bestFit="1" customWidth="1"/>
    <col min="3" max="3" width="11.5546875" bestFit="1" customWidth="1"/>
    <col min="4" max="4" width="15.77734375" bestFit="1" customWidth="1"/>
    <col min="5" max="5" width="12" bestFit="1" customWidth="1"/>
    <col min="6" max="6" width="9.5546875" bestFit="1" customWidth="1"/>
    <col min="7" max="7" width="9.109375" bestFit="1" customWidth="1"/>
    <col min="8" max="8" width="17.6640625" bestFit="1" customWidth="1"/>
    <col min="9" max="9" width="15.21875" bestFit="1" customWidth="1"/>
    <col min="10" max="10" width="15.33203125" bestFit="1" customWidth="1"/>
    <col min="11" max="11" width="14.6640625" bestFit="1" customWidth="1"/>
    <col min="12" max="12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</v>
      </c>
    </row>
    <row r="2" spans="1:13" x14ac:dyDescent="0.3">
      <c r="A2" t="s">
        <v>12</v>
      </c>
      <c r="B2" t="s">
        <v>13</v>
      </c>
      <c r="C2">
        <v>2010624</v>
      </c>
      <c r="D2" s="4">
        <v>118209.69194176439</v>
      </c>
      <c r="E2" s="3">
        <v>5.8792539998410618</v>
      </c>
      <c r="F2" s="4">
        <v>366.2857897663489</v>
      </c>
      <c r="G2" s="2">
        <v>1.8217518032528648E-2</v>
      </c>
      <c r="H2" s="2">
        <v>1.8217518032528648E-2</v>
      </c>
      <c r="I2" s="3">
        <v>5.8974715178735906</v>
      </c>
      <c r="J2" t="s">
        <v>14</v>
      </c>
      <c r="K2" t="s">
        <v>15</v>
      </c>
      <c r="L2" t="s">
        <v>16</v>
      </c>
      <c r="M2" s="4">
        <f>ABS(F2)</f>
        <v>366.2857897663489</v>
      </c>
    </row>
    <row r="3" spans="1:13" x14ac:dyDescent="0.3">
      <c r="A3" t="s">
        <v>17</v>
      </c>
      <c r="B3" t="s">
        <v>18</v>
      </c>
      <c r="C3">
        <v>268744</v>
      </c>
      <c r="D3" s="4">
        <v>11863.79309478978</v>
      </c>
      <c r="E3" s="3">
        <v>4.4145331969419894</v>
      </c>
      <c r="F3" s="4">
        <v>4140.6017674983013</v>
      </c>
      <c r="G3" s="2">
        <v>1.5407234273130941</v>
      </c>
      <c r="H3" s="2">
        <v>1.5407234273130941</v>
      </c>
      <c r="I3" s="3">
        <v>5.9552566242550844</v>
      </c>
      <c r="J3" t="s">
        <v>19</v>
      </c>
      <c r="K3" t="s">
        <v>20</v>
      </c>
      <c r="L3" t="s">
        <v>16</v>
      </c>
      <c r="M3" s="4">
        <f t="shared" ref="M3:M7" si="0">ABS(F3)</f>
        <v>4140.6017674983013</v>
      </c>
    </row>
    <row r="4" spans="1:13" x14ac:dyDescent="0.3">
      <c r="A4" t="s">
        <v>21</v>
      </c>
      <c r="B4" t="s">
        <v>22</v>
      </c>
      <c r="C4">
        <v>179406</v>
      </c>
      <c r="D4" s="4">
        <v>50851.275900864188</v>
      </c>
      <c r="E4" s="3">
        <v>28.344244841791351</v>
      </c>
      <c r="F4" s="4">
        <v>-20030.246830879161</v>
      </c>
      <c r="G4" s="2">
        <v>-11.164758609455181</v>
      </c>
      <c r="H4" s="2">
        <v>16.747137914182769</v>
      </c>
      <c r="I4" s="3">
        <v>45.091382755974116</v>
      </c>
      <c r="J4" t="s">
        <v>23</v>
      </c>
      <c r="K4" t="s">
        <v>24</v>
      </c>
      <c r="L4" t="s">
        <v>25</v>
      </c>
      <c r="M4" s="4">
        <f t="shared" si="0"/>
        <v>20030.246830879161</v>
      </c>
    </row>
    <row r="5" spans="1:13" x14ac:dyDescent="0.3">
      <c r="A5" t="s">
        <v>26</v>
      </c>
      <c r="B5" t="s">
        <v>27</v>
      </c>
      <c r="C5">
        <v>158378</v>
      </c>
      <c r="D5" s="4">
        <v>9674.7166393404277</v>
      </c>
      <c r="E5" s="3">
        <v>6.1086240761598374</v>
      </c>
      <c r="F5" s="4">
        <v>-3203.3400980398001</v>
      </c>
      <c r="G5" s="2">
        <v>-2.0225915834521211</v>
      </c>
      <c r="H5" s="2">
        <v>3.0338873751781819</v>
      </c>
      <c r="I5" s="3">
        <v>9.1425114513380201</v>
      </c>
      <c r="J5" t="s">
        <v>28</v>
      </c>
      <c r="K5" t="s">
        <v>29</v>
      </c>
      <c r="L5" t="s">
        <v>25</v>
      </c>
      <c r="M5" s="4">
        <f t="shared" si="0"/>
        <v>3203.3400980398001</v>
      </c>
    </row>
    <row r="6" spans="1:13" x14ac:dyDescent="0.3">
      <c r="A6" t="s">
        <v>30</v>
      </c>
      <c r="B6" t="s">
        <v>31</v>
      </c>
      <c r="C6">
        <v>154882</v>
      </c>
      <c r="D6" s="4">
        <v>27879.837547555009</v>
      </c>
      <c r="E6" s="3">
        <v>18.00069572161711</v>
      </c>
      <c r="F6" s="4">
        <v>-8649.4042174462229</v>
      </c>
      <c r="G6" s="2">
        <v>-5.584512220559021</v>
      </c>
      <c r="H6" s="2">
        <v>8.3767683308385319</v>
      </c>
      <c r="I6" s="3">
        <v>26.37746405245564</v>
      </c>
      <c r="J6" t="s">
        <v>14</v>
      </c>
      <c r="K6" t="s">
        <v>15</v>
      </c>
      <c r="L6" t="s">
        <v>32</v>
      </c>
      <c r="M6" s="4">
        <f t="shared" si="0"/>
        <v>8649.4042174462229</v>
      </c>
    </row>
    <row r="7" spans="1:13" x14ac:dyDescent="0.3">
      <c r="A7" t="s">
        <v>33</v>
      </c>
      <c r="B7" t="s">
        <v>22</v>
      </c>
      <c r="C7">
        <v>92594</v>
      </c>
      <c r="D7" s="4">
        <v>12273.88475386245</v>
      </c>
      <c r="E7" s="3">
        <v>13.2555940491419</v>
      </c>
      <c r="F7" s="4">
        <v>-197.40740398189519</v>
      </c>
      <c r="G7" s="2">
        <v>-0.21319675570975999</v>
      </c>
      <c r="H7" s="2">
        <v>0.31979513356464001</v>
      </c>
      <c r="I7" s="3">
        <v>13.575389182706539</v>
      </c>
      <c r="J7" t="s">
        <v>14</v>
      </c>
      <c r="K7" t="s">
        <v>15</v>
      </c>
      <c r="L7" t="s">
        <v>32</v>
      </c>
      <c r="M7" s="4">
        <f t="shared" si="0"/>
        <v>197.40740398189519</v>
      </c>
    </row>
    <row r="8" spans="1:13" x14ac:dyDescent="0.3">
      <c r="A8" t="s">
        <v>42</v>
      </c>
      <c r="C8">
        <f>SUM(C2:C7)</f>
        <v>2864628</v>
      </c>
      <c r="D8" s="4">
        <f>SUM(D2:D7)</f>
        <v>230753.19987817627</v>
      </c>
      <c r="E8" s="5">
        <f>D8/C8</f>
        <v>8.0552588286568541E-2</v>
      </c>
      <c r="F8" s="4">
        <f>SUM(F2:F7)</f>
        <v>-27573.510993082429</v>
      </c>
      <c r="G8" s="6">
        <f>F8/C8</f>
        <v>-9.6255119314209141E-3</v>
      </c>
      <c r="M8" s="4">
        <f>SUM(M2:M7)</f>
        <v>36587.286107611726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34</v>
      </c>
      <c r="B1" s="1" t="s">
        <v>35</v>
      </c>
    </row>
    <row r="2" spans="1:2" x14ac:dyDescent="0.3">
      <c r="A2" t="s">
        <v>36</v>
      </c>
      <c r="B2">
        <v>8.0552588286568536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37</v>
      </c>
      <c r="C1" s="1" t="s">
        <v>14</v>
      </c>
      <c r="D1" s="1" t="s">
        <v>23</v>
      </c>
      <c r="E1" s="1" t="s">
        <v>19</v>
      </c>
      <c r="F1" s="1" t="s">
        <v>28</v>
      </c>
      <c r="G1" s="1" t="s">
        <v>38</v>
      </c>
      <c r="H1" s="1" t="s">
        <v>39</v>
      </c>
      <c r="I1" s="1" t="s">
        <v>40</v>
      </c>
    </row>
    <row r="2" spans="1:9" x14ac:dyDescent="0.3">
      <c r="A2" s="1" t="s">
        <v>17</v>
      </c>
      <c r="B2">
        <v>4.6230188076791006</v>
      </c>
      <c r="C2">
        <v>4.6327474024917974</v>
      </c>
      <c r="D2">
        <v>4.4317592687440071</v>
      </c>
      <c r="E2">
        <v>4.4145331969419894</v>
      </c>
      <c r="F2">
        <v>4.6230188076791006</v>
      </c>
      <c r="G2">
        <v>4.6327474024917974</v>
      </c>
      <c r="H2">
        <v>4.4317592687440071</v>
      </c>
      <c r="I2">
        <v>4.4145331969419894</v>
      </c>
    </row>
    <row r="3" spans="1:9" x14ac:dyDescent="0.3">
      <c r="A3" s="1" t="s">
        <v>21</v>
      </c>
      <c r="B3">
        <v>30.43692835698716</v>
      </c>
      <c r="C3">
        <v>30.46229902258689</v>
      </c>
      <c r="D3">
        <v>28.344244841791351</v>
      </c>
      <c r="E3">
        <v>39.77684933780904</v>
      </c>
      <c r="F3">
        <v>30.43692835698716</v>
      </c>
      <c r="G3">
        <v>30.46229902258689</v>
      </c>
      <c r="H3">
        <v>28.344244841791351</v>
      </c>
      <c r="I3">
        <v>39.77684933780904</v>
      </c>
    </row>
    <row r="4" spans="1:9" x14ac:dyDescent="0.3">
      <c r="A4" s="1" t="s">
        <v>12</v>
      </c>
      <c r="B4">
        <v>8.1495817868144034</v>
      </c>
      <c r="C4">
        <v>5.8792539998410618</v>
      </c>
      <c r="D4">
        <v>7.4127066255556349</v>
      </c>
      <c r="E4">
        <v>8.067329937123997</v>
      </c>
      <c r="F4">
        <v>8.1495817868144051</v>
      </c>
      <c r="G4">
        <v>5.8792539998410618</v>
      </c>
      <c r="H4">
        <v>7.4127066255556349</v>
      </c>
      <c r="I4">
        <v>8.067329937123997</v>
      </c>
    </row>
    <row r="5" spans="1:9" x14ac:dyDescent="0.3">
      <c r="A5" s="1" t="s">
        <v>33</v>
      </c>
      <c r="B5">
        <v>13.25572757003922</v>
      </c>
      <c r="C5">
        <v>13.2555940491419</v>
      </c>
      <c r="D5">
        <v>22.021270276691791</v>
      </c>
      <c r="E5">
        <v>22.021270276691791</v>
      </c>
      <c r="F5">
        <v>13.25572757003922</v>
      </c>
      <c r="G5">
        <v>13.2555940491419</v>
      </c>
      <c r="H5">
        <v>22.021270276691791</v>
      </c>
      <c r="I5">
        <v>22.021270276691791</v>
      </c>
    </row>
    <row r="6" spans="1:9" x14ac:dyDescent="0.3">
      <c r="A6" s="1" t="s">
        <v>26</v>
      </c>
      <c r="B6">
        <v>6.4848258821162021</v>
      </c>
      <c r="C6">
        <v>6.4875345210472473</v>
      </c>
      <c r="D6">
        <v>8.0895073591805176</v>
      </c>
      <c r="E6">
        <v>8.0895073810756539</v>
      </c>
      <c r="F6">
        <v>6.1086240761598374</v>
      </c>
      <c r="G6">
        <v>6.1086240761598516</v>
      </c>
      <c r="H6">
        <v>10.169341689066741</v>
      </c>
      <c r="I6">
        <v>10.169341701498951</v>
      </c>
    </row>
    <row r="7" spans="1:9" x14ac:dyDescent="0.3">
      <c r="A7" s="1" t="s">
        <v>30</v>
      </c>
      <c r="B7">
        <v>18.007703450569711</v>
      </c>
      <c r="C7">
        <v>18.00069572161711</v>
      </c>
      <c r="D7">
        <v>25.802336182161561</v>
      </c>
      <c r="E7">
        <v>25.80233618216154</v>
      </c>
      <c r="F7">
        <v>18.007703450569711</v>
      </c>
      <c r="G7">
        <v>18.00069572161711</v>
      </c>
      <c r="H7">
        <v>25.802336182161561</v>
      </c>
      <c r="I7">
        <v>25.80233618216154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Detalhe_SKU_Teste</vt:lpstr>
      <vt:lpstr>Resumo_KPIs</vt:lpstr>
      <vt:lpstr>Mapa_Competicao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Trento</cp:lastModifiedBy>
  <dcterms:created xsi:type="dcterms:W3CDTF">2026-09-27T12:03:59Z</dcterms:created>
  <dcterms:modified xsi:type="dcterms:W3CDTF">2026-09-27T12:35:16Z</dcterms:modified>
</cp:coreProperties>
</file>