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702629114b212db8/Área de Trabalho/DSDI 2026/"/>
    </mc:Choice>
  </mc:AlternateContent>
  <xr:revisionPtr revIDLastSave="43" documentId="8_{8AB4C83C-9FDD-4D42-B3CF-036342059161}" xr6:coauthVersionLast="47" xr6:coauthVersionMax="47" xr10:uidLastSave="{1DE71431-E2C4-4CB7-875A-995D7A46BB22}"/>
  <bookViews>
    <workbookView xWindow="-108" yWindow="-108" windowWidth="23256" windowHeight="12456" activeTab="1" xr2:uid="{00000000-000D-0000-FFFF-FFFF00000000}"/>
  </bookViews>
  <sheets>
    <sheet name="Detalhe_SKU_Teste" sheetId="1" r:id="rId1"/>
    <sheet name="Planilha1" sheetId="4" r:id="rId2"/>
    <sheet name="Resumo_KPIs" sheetId="2" r:id="rId3"/>
    <sheet name="Mapa_Competicao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  <c r="F8" i="1"/>
  <c r="E8" i="1"/>
  <c r="D8" i="1"/>
  <c r="C8" i="1"/>
  <c r="M8" i="1"/>
  <c r="M3" i="1"/>
  <c r="M4" i="1"/>
  <c r="M5" i="1"/>
  <c r="M6" i="1"/>
  <c r="M7" i="1"/>
  <c r="M2" i="1"/>
</calcChain>
</file>

<file path=xl/sharedStrings.xml><?xml version="1.0" encoding="utf-8"?>
<sst xmlns="http://schemas.openxmlformats.org/spreadsheetml/2006/main" count="123" uniqueCount="73">
  <si>
    <t>Produto</t>
  </si>
  <si>
    <t>Modelo</t>
  </si>
  <si>
    <t>Volume Real</t>
  </si>
  <si>
    <t>Contribuição Erro</t>
  </si>
  <si>
    <t>WMAPE (%)</t>
  </si>
  <si>
    <t>Viés (Bias)</t>
  </si>
  <si>
    <t>Viés (%)</t>
  </si>
  <si>
    <t>Penalidade Viés (%)</t>
  </si>
  <si>
    <t>Score de Decisão</t>
  </si>
  <si>
    <t>Cenário Aplicado</t>
  </si>
  <si>
    <t>Arquivo Origem</t>
  </si>
  <si>
    <t>Curva ABC</t>
  </si>
  <si>
    <t>Flex Fuel</t>
  </si>
  <si>
    <t>XGBoost</t>
  </si>
  <si>
    <t>LN</t>
  </si>
  <si>
    <t>Cenario_LN.xlsx</t>
  </si>
  <si>
    <t>A</t>
  </si>
  <si>
    <t>Diesel</t>
  </si>
  <si>
    <t>ExponentialSmoothing</t>
  </si>
  <si>
    <t>N</t>
  </si>
  <si>
    <t>Cenario_N.xlsx</t>
  </si>
  <si>
    <t>Elétrico</t>
  </si>
  <si>
    <t>L</t>
  </si>
  <si>
    <t>Cenario_L.xlsx</t>
  </si>
  <si>
    <t>B</t>
  </si>
  <si>
    <t>Híbrido</t>
  </si>
  <si>
    <t>Híbrido Plug-In</t>
  </si>
  <si>
    <t>C</t>
  </si>
  <si>
    <t>Gasolina</t>
  </si>
  <si>
    <t>AutoARIMA</t>
  </si>
  <si>
    <t>Indicador</t>
  </si>
  <si>
    <t>Valor</t>
  </si>
  <si>
    <t>WMAPE Misto</t>
  </si>
  <si>
    <t>SA</t>
  </si>
  <si>
    <t>WL</t>
  </si>
  <si>
    <t>WLN</t>
  </si>
  <si>
    <t>WN</t>
  </si>
  <si>
    <t>Wins</t>
  </si>
  <si>
    <t>Viés Abs</t>
  </si>
  <si>
    <t>Resultados</t>
  </si>
  <si>
    <t>WM</t>
  </si>
  <si>
    <t>Table 2. Comparison of forecast performance: WMAPE optimization vs. decision score (DS)</t>
  </si>
  <si>
    <t>Victory Criterion</t>
  </si>
  <si>
    <t xml:space="preserve">Consolidated </t>
  </si>
  <si>
    <t>Test</t>
  </si>
  <si>
    <t xml:space="preserve"> Volume</t>
  </si>
  <si>
    <t xml:space="preserve">Net </t>
  </si>
  <si>
    <t>Bias</t>
  </si>
  <si>
    <t xml:space="preserve">Absolute </t>
  </si>
  <si>
    <t>Bias %</t>
  </si>
  <si>
    <t>WMAPE Optimization</t>
  </si>
  <si>
    <t>8.06</t>
  </si>
  <si>
    <t>2,864,628</t>
  </si>
  <si>
    <t>-0.96</t>
  </si>
  <si>
    <t>Decision Score (</t>
  </si>
  <si>
    <t>)</t>
  </si>
  <si>
    <t>Variation (Delta)</t>
  </si>
  <si>
    <t>8.21</t>
  </si>
  <si>
    <t>+0.15 p.p.</t>
  </si>
  <si>
    <t>-</t>
  </si>
  <si>
    <t>-0.43</t>
  </si>
  <si>
    <t>+0.53 p.p.</t>
  </si>
  <si>
    <t>(-34.1%)</t>
  </si>
  <si>
    <t>Criterion</t>
  </si>
  <si>
    <t>Conso</t>
  </si>
  <si>
    <t>Exponential Smoothing</t>
  </si>
  <si>
    <t>12.6</t>
  </si>
  <si>
    <t>AutoArima</t>
  </si>
  <si>
    <t>13.8</t>
  </si>
  <si>
    <t>2,864,638</t>
  </si>
  <si>
    <t>Random Forest</t>
  </si>
  <si>
    <t>16.3</t>
  </si>
  <si>
    <t>2,824,638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</si>
</sst>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71" formatCode="0.0%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b/>
      <sz val="8"/>
      <color theme="1"/>
      <name val="Times New Roman"/>
      <family val="1"/>
    </font>
    <font>
      <b/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ck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" fontId="0" fillId="0" borderId="0" xfId="0" applyNumberFormat="1"/>
    <xf numFmtId="0" fontId="1" fillId="0" borderId="2" xfId="0" applyFont="1" applyFill="1" applyBorder="1" applyAlignment="1">
      <alignment horizontal="center" vertical="top"/>
    </xf>
    <xf numFmtId="171" fontId="0" fillId="0" borderId="0" xfId="1" applyNumberFormat="1" applyFont="1"/>
    <xf numFmtId="10" fontId="0" fillId="0" borderId="0" xfId="1" applyNumberFormat="1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0" fillId="0" borderId="0" xfId="0" applyAlignment="1">
      <alignment vertical="top" wrapText="1"/>
    </xf>
    <xf numFmtId="0" fontId="4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</cellXfs>
  <cellStyles count="2">
    <cellStyle name="Normal" xfId="0" builtinId="0"/>
    <cellStyle name="Porcentagem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0</xdr:rowOff>
    </xdr:from>
    <xdr:to>
      <xdr:col>0</xdr:col>
      <xdr:colOff>129540</xdr:colOff>
      <xdr:row>18</xdr:row>
      <xdr:rowOff>121920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6BEBD0F-5EEE-1248-0350-E4611AE490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9220"/>
          <a:ext cx="12954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129540</xdr:colOff>
      <xdr:row>10</xdr:row>
      <xdr:rowOff>121920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26DFDEC-2ED4-AF7B-D9C8-CAAA7E375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80160"/>
          <a:ext cx="12954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workbookViewId="0">
      <selection activeCell="A9" sqref="A9"/>
    </sheetView>
  </sheetViews>
  <sheetFormatPr defaultRowHeight="14.4" x14ac:dyDescent="0.3"/>
  <cols>
    <col min="1" max="1" width="12.88671875" bestFit="1" customWidth="1"/>
    <col min="2" max="2" width="19.44140625" bestFit="1" customWidth="1"/>
    <col min="3" max="3" width="11.5546875" bestFit="1" customWidth="1"/>
    <col min="4" max="4" width="15.77734375" bestFit="1" customWidth="1"/>
    <col min="5" max="5" width="12" bestFit="1" customWidth="1"/>
    <col min="6" max="6" width="9.109375" bestFit="1" customWidth="1"/>
    <col min="8" max="8" width="17.6640625" bestFit="1" customWidth="1"/>
    <col min="9" max="9" width="15.21875" bestFit="1" customWidth="1"/>
    <col min="10" max="10" width="15.33203125" bestFit="1" customWidth="1"/>
    <col min="11" max="11" width="14.33203125" bestFit="1" customWidth="1"/>
    <col min="12" max="12" width="9.77734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6" t="s">
        <v>38</v>
      </c>
    </row>
    <row r="2" spans="1:13" x14ac:dyDescent="0.3">
      <c r="A2" t="s">
        <v>12</v>
      </c>
      <c r="B2" t="s">
        <v>13</v>
      </c>
      <c r="C2">
        <v>2010624</v>
      </c>
      <c r="D2" s="5">
        <v>118209.69194176439</v>
      </c>
      <c r="E2" s="4">
        <v>5.8792539998410618</v>
      </c>
      <c r="F2" s="5">
        <v>366.2857897663489</v>
      </c>
      <c r="G2" s="3">
        <v>1.8217518032528648E-2</v>
      </c>
      <c r="H2" s="3">
        <v>1.8217518032528648E-2</v>
      </c>
      <c r="I2" s="4">
        <v>5.8974715178735906</v>
      </c>
      <c r="J2" t="s">
        <v>14</v>
      </c>
      <c r="K2" t="s">
        <v>15</v>
      </c>
      <c r="L2" t="s">
        <v>16</v>
      </c>
      <c r="M2" s="5">
        <f>ABS(F2)</f>
        <v>366.2857897663489</v>
      </c>
    </row>
    <row r="3" spans="1:13" x14ac:dyDescent="0.3">
      <c r="A3" t="s">
        <v>17</v>
      </c>
      <c r="B3" t="s">
        <v>18</v>
      </c>
      <c r="C3">
        <v>268744</v>
      </c>
      <c r="D3" s="5">
        <v>11910.087129193391</v>
      </c>
      <c r="E3" s="4">
        <v>4.4317592687440071</v>
      </c>
      <c r="F3" s="5">
        <v>3077.1034498561639</v>
      </c>
      <c r="G3" s="3">
        <v>1.1449942881910531</v>
      </c>
      <c r="H3" s="3">
        <v>1.1449942881910531</v>
      </c>
      <c r="I3" s="4">
        <v>5.5767535569350599</v>
      </c>
      <c r="J3" t="s">
        <v>19</v>
      </c>
      <c r="K3" t="s">
        <v>20</v>
      </c>
      <c r="L3" t="s">
        <v>16</v>
      </c>
      <c r="M3" s="5">
        <f t="shared" ref="M3:M7" si="0">ABS(F3)</f>
        <v>3077.1034498561639</v>
      </c>
    </row>
    <row r="4" spans="1:13" x14ac:dyDescent="0.3">
      <c r="A4" t="s">
        <v>21</v>
      </c>
      <c r="B4" t="s">
        <v>18</v>
      </c>
      <c r="C4">
        <v>179406</v>
      </c>
      <c r="D4" s="5">
        <v>54605.675688136384</v>
      </c>
      <c r="E4" s="4">
        <v>30.43692835698716</v>
      </c>
      <c r="F4" s="5">
        <v>-9473.0895841896127</v>
      </c>
      <c r="G4" s="3">
        <v>-5.2802523796247689</v>
      </c>
      <c r="H4" s="3">
        <v>7.9203785694371529</v>
      </c>
      <c r="I4" s="4">
        <v>38.357306926424307</v>
      </c>
      <c r="J4" t="s">
        <v>22</v>
      </c>
      <c r="K4" t="s">
        <v>23</v>
      </c>
      <c r="L4" t="s">
        <v>24</v>
      </c>
      <c r="M4" s="5">
        <f t="shared" si="0"/>
        <v>9473.0895841896127</v>
      </c>
    </row>
    <row r="5" spans="1:13" x14ac:dyDescent="0.3">
      <c r="A5" t="s">
        <v>25</v>
      </c>
      <c r="B5" t="s">
        <v>18</v>
      </c>
      <c r="C5">
        <v>158378</v>
      </c>
      <c r="D5" s="5">
        <v>10270.537535578</v>
      </c>
      <c r="E5" s="4">
        <v>6.4848258821162021</v>
      </c>
      <c r="F5" s="5">
        <v>2459.8266969025722</v>
      </c>
      <c r="G5" s="3">
        <v>1.5531366079269671</v>
      </c>
      <c r="H5" s="3">
        <v>1.5531366079269671</v>
      </c>
      <c r="I5" s="4">
        <v>8.037962490043169</v>
      </c>
      <c r="J5" t="s">
        <v>22</v>
      </c>
      <c r="K5" t="s">
        <v>23</v>
      </c>
      <c r="L5" t="s">
        <v>24</v>
      </c>
      <c r="M5" s="5">
        <f t="shared" si="0"/>
        <v>2459.8266969025722</v>
      </c>
    </row>
    <row r="6" spans="1:13" x14ac:dyDescent="0.3">
      <c r="A6" t="s">
        <v>26</v>
      </c>
      <c r="B6" t="s">
        <v>18</v>
      </c>
      <c r="C6">
        <v>154882</v>
      </c>
      <c r="D6" s="5">
        <v>27890.691258311381</v>
      </c>
      <c r="E6" s="4">
        <v>18.007703450569711</v>
      </c>
      <c r="F6" s="5">
        <v>-8549.5658916324319</v>
      </c>
      <c r="G6" s="3">
        <v>-5.5200513239966114</v>
      </c>
      <c r="H6" s="3">
        <v>8.280076985994917</v>
      </c>
      <c r="I6" s="4">
        <v>26.287780436564631</v>
      </c>
      <c r="J6" t="s">
        <v>22</v>
      </c>
      <c r="K6" t="s">
        <v>23</v>
      </c>
      <c r="L6" t="s">
        <v>27</v>
      </c>
      <c r="M6" s="5">
        <f t="shared" si="0"/>
        <v>8549.5658916324319</v>
      </c>
    </row>
    <row r="7" spans="1:13" x14ac:dyDescent="0.3">
      <c r="A7" t="s">
        <v>28</v>
      </c>
      <c r="B7" t="s">
        <v>29</v>
      </c>
      <c r="C7">
        <v>92594</v>
      </c>
      <c r="D7" s="5">
        <v>12274.00838620212</v>
      </c>
      <c r="E7" s="4">
        <v>13.25572757003922</v>
      </c>
      <c r="F7" s="5">
        <v>-189.9030885032262</v>
      </c>
      <c r="G7" s="3">
        <v>-0.2050922181817679</v>
      </c>
      <c r="H7" s="3">
        <v>0.30763832727265189</v>
      </c>
      <c r="I7" s="4">
        <v>13.56336589731187</v>
      </c>
      <c r="J7" t="s">
        <v>22</v>
      </c>
      <c r="K7" t="s">
        <v>23</v>
      </c>
      <c r="L7" t="s">
        <v>27</v>
      </c>
      <c r="M7" s="5">
        <f t="shared" si="0"/>
        <v>189.9030885032262</v>
      </c>
    </row>
    <row r="8" spans="1:13" x14ac:dyDescent="0.3">
      <c r="A8" t="s">
        <v>39</v>
      </c>
      <c r="C8" s="5">
        <f>SUM(C2:C7)</f>
        <v>2864628</v>
      </c>
      <c r="D8" s="5">
        <f>SUM(D2:D7)</f>
        <v>235160.69193918569</v>
      </c>
      <c r="E8" s="7">
        <f>D8/C8</f>
        <v>8.2091179706120898E-2</v>
      </c>
      <c r="F8" s="5">
        <f>SUM(F2:F7)</f>
        <v>-12309.342627800186</v>
      </c>
      <c r="G8" s="8">
        <f>F8/C8</f>
        <v>-4.2970126061045921E-3</v>
      </c>
      <c r="M8" s="5">
        <f>SUM(M2:M7)</f>
        <v>24115.774500850355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BCD20-5508-463B-8C13-8FE20FD0D5DD}">
  <dimension ref="A1:F22"/>
  <sheetViews>
    <sheetView tabSelected="1" workbookViewId="0">
      <selection activeCell="A3" sqref="A3:F13"/>
    </sheetView>
  </sheetViews>
  <sheetFormatPr defaultRowHeight="14.4" x14ac:dyDescent="0.3"/>
  <cols>
    <col min="1" max="1" width="76.44140625" bestFit="1" customWidth="1"/>
    <col min="2" max="2" width="12.109375" bestFit="1" customWidth="1"/>
    <col min="4" max="4" width="8.109375" bestFit="1" customWidth="1"/>
    <col min="5" max="5" width="8.5546875" bestFit="1" customWidth="1"/>
  </cols>
  <sheetData>
    <row r="1" spans="1:6" x14ac:dyDescent="0.3">
      <c r="A1" t="s">
        <v>63</v>
      </c>
      <c r="B1" t="s">
        <v>64</v>
      </c>
      <c r="C1" t="s">
        <v>40</v>
      </c>
    </row>
    <row r="3" spans="1:6" x14ac:dyDescent="0.3">
      <c r="A3" t="s">
        <v>41</v>
      </c>
    </row>
    <row r="4" spans="1:6" x14ac:dyDescent="0.3">
      <c r="A4" t="s">
        <v>42</v>
      </c>
      <c r="B4" t="s">
        <v>43</v>
      </c>
      <c r="C4" t="s">
        <v>44</v>
      </c>
      <c r="D4" t="s">
        <v>46</v>
      </c>
      <c r="E4" t="s">
        <v>48</v>
      </c>
      <c r="F4" t="s">
        <v>49</v>
      </c>
    </row>
    <row r="5" spans="1:6" x14ac:dyDescent="0.3">
      <c r="B5" t="s">
        <v>4</v>
      </c>
      <c r="C5" t="s">
        <v>45</v>
      </c>
      <c r="D5" t="s">
        <v>47</v>
      </c>
      <c r="E5" t="s">
        <v>47</v>
      </c>
    </row>
    <row r="6" spans="1:6" x14ac:dyDescent="0.3">
      <c r="A6" t="s">
        <v>65</v>
      </c>
      <c r="B6" t="s">
        <v>66</v>
      </c>
      <c r="C6" t="s">
        <v>52</v>
      </c>
      <c r="D6" s="2">
        <v>-180.43700000000001</v>
      </c>
      <c r="E6">
        <v>292.29899999999998</v>
      </c>
      <c r="F6">
        <v>-6.3</v>
      </c>
    </row>
    <row r="7" spans="1:6" x14ac:dyDescent="0.3">
      <c r="A7" t="s">
        <v>67</v>
      </c>
      <c r="B7" t="s">
        <v>68</v>
      </c>
      <c r="C7" t="s">
        <v>69</v>
      </c>
      <c r="D7" s="2">
        <v>-65.55</v>
      </c>
      <c r="E7">
        <v>188.22399999999999</v>
      </c>
      <c r="F7">
        <v>-2.2000000000000002</v>
      </c>
    </row>
    <row r="8" spans="1:6" x14ac:dyDescent="0.3">
      <c r="A8" t="s">
        <v>70</v>
      </c>
      <c r="B8" t="s">
        <v>71</v>
      </c>
      <c r="C8" t="s">
        <v>72</v>
      </c>
      <c r="D8" s="2">
        <v>-283.59199999999998</v>
      </c>
      <c r="E8">
        <v>331.42599999999999</v>
      </c>
      <c r="F8">
        <v>-9.9</v>
      </c>
    </row>
    <row r="9" spans="1:6" x14ac:dyDescent="0.3">
      <c r="A9" t="s">
        <v>50</v>
      </c>
      <c r="B9" t="s">
        <v>51</v>
      </c>
      <c r="C9" t="s">
        <v>52</v>
      </c>
      <c r="D9">
        <v>-27.573</v>
      </c>
      <c r="E9">
        <v>36.587000000000003</v>
      </c>
      <c r="F9" t="s">
        <v>53</v>
      </c>
    </row>
    <row r="10" spans="1:6" x14ac:dyDescent="0.3">
      <c r="A10" t="s">
        <v>54</v>
      </c>
      <c r="B10" t="s">
        <v>57</v>
      </c>
      <c r="C10" t="s">
        <v>52</v>
      </c>
      <c r="D10">
        <v>-12.308999999999999</v>
      </c>
      <c r="E10">
        <v>24.114999999999998</v>
      </c>
      <c r="F10" t="s">
        <v>60</v>
      </c>
    </row>
    <row r="11" spans="1:6" x14ac:dyDescent="0.3">
      <c r="A11" t="s">
        <v>55</v>
      </c>
      <c r="B11" t="s">
        <v>58</v>
      </c>
      <c r="C11" t="s">
        <v>59</v>
      </c>
      <c r="D11">
        <v>15.263999999999999</v>
      </c>
      <c r="E11">
        <v>-12.472</v>
      </c>
      <c r="F11" t="s">
        <v>61</v>
      </c>
    </row>
    <row r="12" spans="1:6" x14ac:dyDescent="0.3">
      <c r="A12" t="s">
        <v>56</v>
      </c>
    </row>
    <row r="13" spans="1:6" x14ac:dyDescent="0.3">
      <c r="E13" t="s">
        <v>62</v>
      </c>
    </row>
    <row r="14" spans="1:6" ht="15" thickBot="1" x14ac:dyDescent="0.35">
      <c r="A14" s="9"/>
    </row>
    <row r="15" spans="1:6" ht="15" thickTop="1" x14ac:dyDescent="0.3">
      <c r="A15" s="18" t="s">
        <v>42</v>
      </c>
      <c r="B15" s="11" t="s">
        <v>43</v>
      </c>
      <c r="C15" s="11" t="s">
        <v>44</v>
      </c>
      <c r="D15" s="11" t="s">
        <v>46</v>
      </c>
      <c r="E15" s="11" t="s">
        <v>48</v>
      </c>
      <c r="F15" s="18" t="s">
        <v>49</v>
      </c>
    </row>
    <row r="16" spans="1:6" ht="15" thickBot="1" x14ac:dyDescent="0.35">
      <c r="A16" s="19"/>
      <c r="B16" s="12" t="s">
        <v>4</v>
      </c>
      <c r="C16" s="12" t="s">
        <v>45</v>
      </c>
      <c r="D16" s="12" t="s">
        <v>47</v>
      </c>
      <c r="E16" s="12" t="s">
        <v>47</v>
      </c>
      <c r="F16" s="19"/>
    </row>
    <row r="17" spans="1:6" ht="20.399999999999999" x14ac:dyDescent="0.3">
      <c r="A17" s="10" t="s">
        <v>50</v>
      </c>
      <c r="B17" s="13" t="s">
        <v>51</v>
      </c>
      <c r="C17" s="10" t="s">
        <v>52</v>
      </c>
      <c r="D17" s="10">
        <v>-27.573</v>
      </c>
      <c r="E17" s="10">
        <v>36.587000000000003</v>
      </c>
      <c r="F17" s="10" t="s">
        <v>53</v>
      </c>
    </row>
    <row r="18" spans="1:6" x14ac:dyDescent="0.3">
      <c r="A18" s="10" t="s">
        <v>54</v>
      </c>
      <c r="B18" s="13" t="s">
        <v>57</v>
      </c>
      <c r="C18" s="10" t="s">
        <v>52</v>
      </c>
      <c r="D18" s="10">
        <v>-12.308999999999999</v>
      </c>
      <c r="E18" s="10">
        <v>24.114999999999998</v>
      </c>
      <c r="F18" s="10" t="s">
        <v>60</v>
      </c>
    </row>
    <row r="19" spans="1:6" x14ac:dyDescent="0.3">
      <c r="A19" s="10" t="s">
        <v>55</v>
      </c>
      <c r="B19" s="13" t="s">
        <v>58</v>
      </c>
      <c r="C19" s="15" t="s">
        <v>59</v>
      </c>
      <c r="D19" s="13">
        <v>15.263999999999999</v>
      </c>
      <c r="E19" s="13">
        <v>-12.472</v>
      </c>
      <c r="F19" s="13" t="s">
        <v>61</v>
      </c>
    </row>
    <row r="20" spans="1:6" x14ac:dyDescent="0.3">
      <c r="A20" s="10" t="s">
        <v>56</v>
      </c>
      <c r="B20" s="14"/>
      <c r="C20" s="14"/>
      <c r="D20" s="14"/>
      <c r="E20" s="14"/>
      <c r="F20" s="14"/>
    </row>
    <row r="21" spans="1:6" x14ac:dyDescent="0.3">
      <c r="A21" s="10"/>
      <c r="B21" s="13"/>
      <c r="C21" s="10"/>
      <c r="D21" s="10"/>
      <c r="E21" s="10" t="s">
        <v>62</v>
      </c>
      <c r="F21" s="10"/>
    </row>
    <row r="22" spans="1:6" ht="15" thickBot="1" x14ac:dyDescent="0.35">
      <c r="A22" s="16"/>
      <c r="B22" s="17"/>
      <c r="C22" s="16"/>
      <c r="D22" s="16"/>
      <c r="E22" s="16"/>
      <c r="F22" s="16"/>
    </row>
  </sheetData>
  <mergeCells count="2">
    <mergeCell ref="A15:A16"/>
    <mergeCell ref="F15:F16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4.4" x14ac:dyDescent="0.3"/>
  <sheetData>
    <row r="1" spans="1:2" x14ac:dyDescent="0.3">
      <c r="A1" s="1" t="s">
        <v>30</v>
      </c>
      <c r="B1" s="1" t="s">
        <v>31</v>
      </c>
    </row>
    <row r="2" spans="1:2" x14ac:dyDescent="0.3">
      <c r="A2" t="s">
        <v>32</v>
      </c>
      <c r="B2">
        <v>8.2091179706120894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22</v>
      </c>
      <c r="C1" s="1" t="s">
        <v>14</v>
      </c>
      <c r="D1" s="1" t="s">
        <v>19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</row>
    <row r="2" spans="1:9" x14ac:dyDescent="0.3">
      <c r="A2" s="1" t="s">
        <v>17</v>
      </c>
      <c r="B2">
        <v>7.2102224342172594</v>
      </c>
      <c r="C2">
        <v>7.2320892616556502</v>
      </c>
      <c r="D2">
        <v>5.5767535569350599</v>
      </c>
      <c r="E2">
        <v>5.9552566242550844</v>
      </c>
      <c r="F2">
        <v>7.2102224342172594</v>
      </c>
      <c r="G2">
        <v>7.2320892616556502</v>
      </c>
      <c r="H2">
        <v>5.5767535569350599</v>
      </c>
      <c r="I2">
        <v>5.9552566242550844</v>
      </c>
    </row>
    <row r="3" spans="1:9" x14ac:dyDescent="0.3">
      <c r="A3" s="1" t="s">
        <v>21</v>
      </c>
      <c r="B3">
        <v>38.357306926424307</v>
      </c>
      <c r="C3">
        <v>38.456383140791139</v>
      </c>
      <c r="D3">
        <v>45.091382755974116</v>
      </c>
      <c r="E3">
        <v>96.338888844332715</v>
      </c>
      <c r="F3">
        <v>38.357306926424307</v>
      </c>
      <c r="G3">
        <v>38.456383140791139</v>
      </c>
      <c r="H3">
        <v>45.091382755974116</v>
      </c>
      <c r="I3">
        <v>96.338888844332715</v>
      </c>
    </row>
    <row r="4" spans="1:9" x14ac:dyDescent="0.3">
      <c r="A4" s="1" t="s">
        <v>12</v>
      </c>
      <c r="B4">
        <v>12.541593623236791</v>
      </c>
      <c r="C4">
        <v>5.8974715178735906</v>
      </c>
      <c r="D4">
        <v>8.0324960307161639</v>
      </c>
      <c r="E4">
        <v>10.44940875631147</v>
      </c>
      <c r="F4">
        <v>12.541593623236761</v>
      </c>
      <c r="G4">
        <v>5.8974715178735906</v>
      </c>
      <c r="H4">
        <v>8.0324960307161639</v>
      </c>
      <c r="I4">
        <v>10.44940875631147</v>
      </c>
    </row>
    <row r="5" spans="1:9" x14ac:dyDescent="0.3">
      <c r="A5" s="1" t="s">
        <v>28</v>
      </c>
      <c r="B5">
        <v>13.56336589731187</v>
      </c>
      <c r="C5">
        <v>13.575389182706539</v>
      </c>
      <c r="D5">
        <v>28.991821824308289</v>
      </c>
      <c r="E5">
        <v>28.991821824308271</v>
      </c>
      <c r="F5">
        <v>13.56336589731187</v>
      </c>
      <c r="G5">
        <v>13.575389182706539</v>
      </c>
      <c r="H5">
        <v>28.991821824308289</v>
      </c>
      <c r="I5">
        <v>28.991821824308271</v>
      </c>
    </row>
    <row r="6" spans="1:9" x14ac:dyDescent="0.3">
      <c r="A6" s="1" t="s">
        <v>25</v>
      </c>
      <c r="B6">
        <v>8.037962490043169</v>
      </c>
      <c r="C6">
        <v>8.0521889924556938</v>
      </c>
      <c r="D6">
        <v>9.3984011726856149</v>
      </c>
      <c r="E6">
        <v>9.3984012931088898</v>
      </c>
      <c r="F6">
        <v>9.1425114513380201</v>
      </c>
      <c r="G6">
        <v>9.1425114513376187</v>
      </c>
      <c r="H6">
        <v>18.969806344129641</v>
      </c>
      <c r="I6">
        <v>18.969806412506792</v>
      </c>
    </row>
    <row r="7" spans="1:9" x14ac:dyDescent="0.3">
      <c r="A7" s="1" t="s">
        <v>26</v>
      </c>
      <c r="B7">
        <v>26.287780436564631</v>
      </c>
      <c r="C7">
        <v>26.37746405245564</v>
      </c>
      <c r="D7">
        <v>56.564252640859173</v>
      </c>
      <c r="E7">
        <v>56.564252640859067</v>
      </c>
      <c r="F7">
        <v>26.287780436564631</v>
      </c>
      <c r="G7">
        <v>26.37746405245564</v>
      </c>
      <c r="H7">
        <v>56.564252640859173</v>
      </c>
      <c r="I7">
        <v>56.564252640859067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Detalhe_SKU_Teste</vt:lpstr>
      <vt:lpstr>Planilha1</vt:lpstr>
      <vt:lpstr>Resumo_KPIs</vt:lpstr>
      <vt:lpstr>Mapa_Competicao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Luiz Trento</cp:lastModifiedBy>
  <dcterms:created xsi:type="dcterms:W3CDTF">2026-09-27T12:03:53Z</dcterms:created>
  <dcterms:modified xsi:type="dcterms:W3CDTF">2026-09-27T13:48:21Z</dcterms:modified>
</cp:coreProperties>
</file>